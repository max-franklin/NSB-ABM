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earch\NSB\NSB-2024-AUG\docs\"/>
    </mc:Choice>
  </mc:AlternateContent>
  <xr:revisionPtr revIDLastSave="0" documentId="13_ncr:1_{5A438177-A570-4C2C-830C-1450030B29BB}" xr6:coauthVersionLast="47" xr6:coauthVersionMax="47" xr10:uidLastSave="{00000000-0000-0000-0000-000000000000}"/>
  <bookViews>
    <workbookView xWindow="-120" yWindow="-120" windowWidth="38640" windowHeight="21120" activeTab="3" xr2:uid="{733C3562-D7F2-4D1D-AFC5-B559525BE6BA}"/>
    <workbookView xWindow="-120" yWindow="-120" windowWidth="38640" windowHeight="21120" activeTab="3" xr2:uid="{88E19B11-7984-4E90-A383-6FB394980B35}"/>
  </bookViews>
  <sheets>
    <sheet name="Full Data" sheetId="1" r:id="rId1"/>
    <sheet name="File Speciation" sheetId="2" r:id="rId2"/>
    <sheet name="File Grazing Preference" sheetId="3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F16" i="1"/>
</calcChain>
</file>

<file path=xl/sharedStrings.xml><?xml version="1.0" encoding="utf-8"?>
<sst xmlns="http://schemas.openxmlformats.org/spreadsheetml/2006/main" count="285" uniqueCount="166">
  <si>
    <t>Seasonal Shortgrass</t>
  </si>
  <si>
    <t>Vegetation Complex (85% centers)</t>
  </si>
  <si>
    <t>Vegetation Complex (67% centers or troughs)</t>
  </si>
  <si>
    <t>Evergreen Dwarf Shrub</t>
  </si>
  <si>
    <t>Vegetation Complex (85% Ponds)</t>
  </si>
  <si>
    <t>Deciduous Shrub</t>
  </si>
  <si>
    <t>Deciduous Shrub Savannah</t>
  </si>
  <si>
    <t>Seasonal Desert Shrub</t>
  </si>
  <si>
    <t>Deciduous Desert Shrub</t>
  </si>
  <si>
    <t>Deciduous Dwarf Shrub</t>
  </si>
  <si>
    <t>Grazing</t>
  </si>
  <si>
    <t>FIGURE 13. Map 2, unit 6. Lichens, Cassiope tetra_x0002_gona ssp. tetragona, Salix phlebophylla, and Diapensia
lapponica ssp. obouata predominate in elevated ridge
communities on well-drained surfaces. These com_x0002_munities often intergrade with Map 2, unit 8, Erio_x0002_phorum vaginatum tussock</t>
  </si>
  <si>
    <t>Map 2, unit 1    Leymus mollis, Dryas integrifolia    seasonal desert herb vegetation   sand dune</t>
  </si>
  <si>
    <t>FIGURE 11. Map 2, unit 2.     Salix alaxensis ssp. alaxen_x0002_sis, Festuca rubra ssp. arctica, and Bromopsis pumpel_x0002_liana ssp. Arctica      are the principal plants in the sparse, shrubby vegetation of active sand dunes</t>
  </si>
  <si>
    <t>FIGURE 12. Map 2, unit 3.     Leymus mollis ssp. oillosis_x0002_simus, Festuca brachyphylla, Carex obtusata, Koeleria asiatica, and lichens      are significant in the vegetation of stabilized sand dunes on well-drained ridges</t>
  </si>
  <si>
    <t>Map 2, unit 14     Carex aquatilis, Salix pulchra. Vegetation  Complex; Salix pulchra, Carex aquatilis deciduous shrub savanna    on rims</t>
  </si>
  <si>
    <t>Map 2, unit 17     Salix alaxensis, S. lanata, S. glauca, S. pulchra    deciduous scrub    streambank</t>
  </si>
  <si>
    <t>Map 2, unit 12     Salix pulchra, Carex aquatilis     deciduous shrub savanna     lowland</t>
  </si>
  <si>
    <t>Map 2, unit 8. The third most extensive map unit in Map 2 is an Eriophorum vaginatum ssp. spissum-dominated upland which also covers a considerable area in Map 1. Lichens, Ledum palustre ssp. decumbens, Vaccinium uitis-idaea ssp. minus, and Rubus chamaemorus are noticeable among the tussocks. Salix pulchra and Betula nana ssp. exilis occur occasionally</t>
  </si>
  <si>
    <t>Map 2, unit 10    Eriophorum uaginatum Carex aquatilis, Salix  pulchra    vegetation complex;Eriophorum uaginatum seasonal short grass on rims     low-center
polygon</t>
  </si>
  <si>
    <t>Map 2, unit 8     Eriophorum uaginatum    seasonal short grass     upland</t>
  </si>
  <si>
    <t>Map 1, unit 4;
Map 2, unit 9.      Eriophorum vaginatum ssp. Spissum, Carex aquatilis ssp. stans     tussock  polygon centers</t>
  </si>
  <si>
    <t>Map 1, unit 9     Carex aquatilis     seasonal short grass      marsh</t>
  </si>
  <si>
    <t>To cite this article: Věra Komárková &amp; P. J. Webber (1980) Two Low Arctic Vegetation
Maps near Atkasook, Alaska, Arctic and Alpine Research, 12:4, 447-472, DOI:
10.1080/00040851.1980.12004206
To link to this article: https://doi.org/10.1080/00040851.1980.12004206</t>
  </si>
  <si>
    <t xml:space="preserve">Two Low Arctic Vegetation Maps near Atkasook, Alaska </t>
  </si>
  <si>
    <t>Species</t>
  </si>
  <si>
    <t>upland</t>
  </si>
  <si>
    <t>Eriophorum vaginatum ssp. Spissum, Carex aquatilis ssp. stans</t>
  </si>
  <si>
    <t>Geography Descriptor</t>
  </si>
  <si>
    <t>seasonal short grass</t>
  </si>
  <si>
    <t>Original Description</t>
  </si>
  <si>
    <t>Eriophorum uaginatum</t>
  </si>
  <si>
    <t xml:space="preserve"> polygon centers</t>
  </si>
  <si>
    <t>Vegetation Descriptor</t>
  </si>
  <si>
    <t>tussock</t>
  </si>
  <si>
    <t>Eriophorum uaginatum Carex aquatilis, Salix  pulchra</t>
  </si>
  <si>
    <t xml:space="preserve"> vegetation complex</t>
  </si>
  <si>
    <t xml:space="preserve"> low-center polygon</t>
  </si>
  <si>
    <t xml:space="preserve"> Carex aquatilis</t>
  </si>
  <si>
    <t xml:space="preserve"> seasonal short grass</t>
  </si>
  <si>
    <t>marsh</t>
  </si>
  <si>
    <t>lowland</t>
  </si>
  <si>
    <t>streambank</t>
  </si>
  <si>
    <t>Lichens, Cassiope tetra_x0002_gona ssp. tetragona, Salix phlebophylla,  Diapensia</t>
  </si>
  <si>
    <t>-</t>
  </si>
  <si>
    <t>Unit (Map 2)</t>
  </si>
  <si>
    <t xml:space="preserve">Eriophorum vaginatum ssp. Spissum, Lichens, Ledum palustre ssp. decumbens, Vaccinium uitis-idaea ssp. minus,  Rubus chamaemorus, Salix pulchra, Betula nana ssp. exilis </t>
  </si>
  <si>
    <t>IGURE 6. Map I, unit 8; Map 2, unit IS. Carex aquatilis ssp. stans marsh (Map I, unit 9; Map 2, unit 16) occupies the majority of the surface in a Strangmoor. The elevated undulating Strange (foreground) support a community dominated by Salix pulchra, Carex aquatilis ssp. stans, and Sphagnum spp.</t>
  </si>
  <si>
    <t>Carex aquatilis ssp. Stans, Sphagnum spp., Salix pulchra</t>
  </si>
  <si>
    <t>Strangmoor (Bog)</t>
  </si>
  <si>
    <t>Bog</t>
  </si>
  <si>
    <t xml:space="preserve">Salix pulchra, Carex aquatilis </t>
  </si>
  <si>
    <t xml:space="preserve">deciduous shrub savanna  </t>
  </si>
  <si>
    <t xml:space="preserve"> Carex aquatilis, Salix pulchra. </t>
  </si>
  <si>
    <t>Leymus mollis, Dryas integrifolia</t>
  </si>
  <si>
    <t>Vegetation  Complex</t>
  </si>
  <si>
    <t>deciduous shrub savanna on rims</t>
  </si>
  <si>
    <t>Salix alaxensis, S. lanata, S. glauca, S. pulchra</t>
  </si>
  <si>
    <t>deciduous shrub</t>
  </si>
  <si>
    <t>seasonal desert herb vegetation</t>
  </si>
  <si>
    <t xml:space="preserve"> sand dune</t>
  </si>
  <si>
    <t>Salix alaxensis ssp. alaxen_x0002_sis, Festuca rubra ssp. arctica, and Bromopsis pumpel_x0002_liana ssp. Arctica</t>
  </si>
  <si>
    <t>sparse, shrubby vegetation</t>
  </si>
  <si>
    <t>sand dunes</t>
  </si>
  <si>
    <t xml:space="preserve"> Leymus mollis ssp. oillosis_x0002_simus, Festuca brachyphylla, Carex obtusata, Koeleria asiatica, lichens</t>
  </si>
  <si>
    <t xml:space="preserve"> sand dunes on well-drained ridges</t>
  </si>
  <si>
    <t>Affiliated Files</t>
  </si>
  <si>
    <t>Type (Grazing Report)</t>
  </si>
  <si>
    <t>dryas.zip|erivag.zip|sphagn.zip|vacvit.zip</t>
  </si>
  <si>
    <t>erivag.zip|salshr.zip</t>
  </si>
  <si>
    <t>picgla.zip|picmar.zip</t>
  </si>
  <si>
    <t>sphagn.zip</t>
  </si>
  <si>
    <t>salshr.zip</t>
  </si>
  <si>
    <t>dryas.zip</t>
  </si>
  <si>
    <t>GroupID</t>
  </si>
  <si>
    <t xml:space="preserve">alnus.zip </t>
  </si>
  <si>
    <t>betshr.zip</t>
  </si>
  <si>
    <t>bettre.zip</t>
  </si>
  <si>
    <t>dectre.zip</t>
  </si>
  <si>
    <t xml:space="preserve">dryas.zip </t>
  </si>
  <si>
    <t>empnig.zip</t>
  </si>
  <si>
    <t>erivag.zip</t>
  </si>
  <si>
    <t>picgla.zip</t>
  </si>
  <si>
    <t>picmar.zip</t>
  </si>
  <si>
    <t>rhoshr.zip</t>
  </si>
  <si>
    <t>vaculi.zip</t>
  </si>
  <si>
    <t>vacvit.zip</t>
  </si>
  <si>
    <t>wetsed.zip</t>
  </si>
  <si>
    <t>GIS Data Collection</t>
  </si>
  <si>
    <t>Genus</t>
  </si>
  <si>
    <t>Alnus</t>
  </si>
  <si>
    <t>Dryas</t>
  </si>
  <si>
    <t xml:space="preserve">Betula </t>
  </si>
  <si>
    <t>Note</t>
  </si>
  <si>
    <t>Deciduous tree</t>
  </si>
  <si>
    <t>many</t>
  </si>
  <si>
    <t>Rosaceae family</t>
  </si>
  <si>
    <t>Black Crowberry</t>
  </si>
  <si>
    <t>Empetrum nigrum</t>
  </si>
  <si>
    <t>Erica vagans</t>
  </si>
  <si>
    <t>Cornish heath</t>
  </si>
  <si>
    <t>Picea glauca</t>
  </si>
  <si>
    <t>Picea mariana</t>
  </si>
  <si>
    <t>black spruce</t>
  </si>
  <si>
    <t>Rhodedendron</t>
  </si>
  <si>
    <t>Salix</t>
  </si>
  <si>
    <t>Sphagnum</t>
  </si>
  <si>
    <t>peat moss/bog moss</t>
  </si>
  <si>
    <t>Vaccinium uliginosum</t>
  </si>
  <si>
    <t xml:space="preserve">bog blueberry </t>
  </si>
  <si>
    <t>Vaccinium vitis-idaea</t>
  </si>
  <si>
    <t xml:space="preserve">lingonberry </t>
  </si>
  <si>
    <t xml:space="preserve">Carex aquatilis </t>
  </si>
  <si>
    <t>File name is for wetlands but can be mapped to Carex aquatilis</t>
  </si>
  <si>
    <t>White spruce</t>
  </si>
  <si>
    <t>Betula Tree</t>
  </si>
  <si>
    <t>Betula Shrub</t>
  </si>
  <si>
    <t>Alnus Shrub</t>
  </si>
  <si>
    <t>Flowering woody shrub</t>
  </si>
  <si>
    <t>Willow shrubs/trees</t>
  </si>
  <si>
    <t>Tussock</t>
  </si>
  <si>
    <t>Elevated Ridge</t>
  </si>
  <si>
    <t>Concat File</t>
  </si>
  <si>
    <t>dryas.zip
erivag.zip
salshr.zip
sphagn.zip
vacvit.zip</t>
  </si>
  <si>
    <t>dryas.zip
erivag.zip
picgla.zip
picmar.zip
sphagn.zip
vacvit.zip</t>
  </si>
  <si>
    <t>erivag.zip
salshr.zip
sphagn.zip</t>
  </si>
  <si>
    <t xml:space="preserve">dryas.zip
salshr.zip
</t>
  </si>
  <si>
    <t>Grazing Percentage</t>
  </si>
  <si>
    <t>ALNUS</t>
  </si>
  <si>
    <t>BETSHR</t>
  </si>
  <si>
    <t>BETTRE</t>
  </si>
  <si>
    <t>DECTRE</t>
  </si>
  <si>
    <t>DRYAS</t>
  </si>
  <si>
    <t>EMPNIG</t>
  </si>
  <si>
    <t>ERIVAG</t>
  </si>
  <si>
    <t>PICGLA</t>
  </si>
  <si>
    <t>PICMAR</t>
  </si>
  <si>
    <t>RHOSHR</t>
  </si>
  <si>
    <t>SALSHR</t>
  </si>
  <si>
    <t>SPHAGN</t>
  </si>
  <si>
    <t>VACULI</t>
  </si>
  <si>
    <t>VACVIT</t>
  </si>
  <si>
    <t>WETSED</t>
  </si>
  <si>
    <t>salshr</t>
  </si>
  <si>
    <t>vacvit</t>
  </si>
  <si>
    <t>sphagn</t>
  </si>
  <si>
    <t>picmar</t>
  </si>
  <si>
    <t>picgla</t>
  </si>
  <si>
    <t>erivag</t>
  </si>
  <si>
    <t>dryas</t>
  </si>
  <si>
    <t>a</t>
  </si>
  <si>
    <t>b</t>
  </si>
  <si>
    <t>c</t>
  </si>
  <si>
    <t>d</t>
  </si>
  <si>
    <t>e</t>
  </si>
  <si>
    <t>f</t>
  </si>
  <si>
    <t>g</t>
  </si>
  <si>
    <t>Total</t>
  </si>
  <si>
    <t>=</t>
  </si>
  <si>
    <t>a + g = 0.019</t>
  </si>
  <si>
    <t>g = 0.014</t>
  </si>
  <si>
    <t>a + b + e + f + g = 0.096</t>
  </si>
  <si>
    <t>b + e + g = 0.308</t>
  </si>
  <si>
    <t>a + b + c + d + e + f = 0.467</t>
  </si>
  <si>
    <t>0.294 - b</t>
  </si>
  <si>
    <t>0.385 -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</si>
</sst>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3" borderId="7" xfId="0" applyFill="1" applyBorder="1"/>
    <xf numFmtId="10" fontId="0" fillId="3" borderId="8" xfId="1" applyNumberFormat="1" applyFont="1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/>
    </xf>
    <xf numFmtId="0" fontId="0" fillId="3" borderId="10" xfId="0" applyFill="1" applyBorder="1"/>
    <xf numFmtId="0" fontId="0" fillId="3" borderId="10" xfId="0" applyFill="1" applyBorder="1" applyAlignment="1">
      <alignment vertical="top"/>
    </xf>
    <xf numFmtId="10" fontId="0" fillId="0" borderId="10" xfId="0" applyNumberFormat="1" applyBorder="1"/>
    <xf numFmtId="0" fontId="0" fillId="2" borderId="10" xfId="0" applyFill="1" applyBorder="1" applyAlignment="1">
      <alignment vertical="top"/>
    </xf>
    <xf numFmtId="0" fontId="0" fillId="2" borderId="10" xfId="0" applyFill="1" applyBorder="1" applyAlignment="1">
      <alignment horizontal="left" vertical="top"/>
    </xf>
    <xf numFmtId="0" fontId="0" fillId="2" borderId="10" xfId="0" applyFill="1" applyBorder="1" applyAlignment="1">
      <alignment horizontal="center" vertical="top"/>
    </xf>
    <xf numFmtId="0" fontId="3" fillId="4" borderId="10" xfId="0" applyFont="1" applyFill="1" applyBorder="1"/>
    <xf numFmtId="0" fontId="4" fillId="0" borderId="0" xfId="0" applyFont="1"/>
    <xf numFmtId="0" fontId="0" fillId="3" borderId="10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6" fillId="0" borderId="10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2" fillId="4" borderId="0" xfId="0" applyFont="1" applyFill="1" applyAlignment="1">
      <alignment horizontal="center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10" fontId="0" fillId="3" borderId="3" xfId="1" applyNumberFormat="1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10" fontId="0" fillId="2" borderId="3" xfId="1" applyNumberFormat="1" applyFont="1" applyFill="1" applyBorder="1" applyAlignment="1">
      <alignment horizontal="right"/>
    </xf>
    <xf numFmtId="10" fontId="0" fillId="2" borderId="5" xfId="1" applyNumberFormat="1" applyFont="1" applyFill="1" applyBorder="1" applyAlignment="1">
      <alignment horizontal="right"/>
    </xf>
    <xf numFmtId="10" fontId="0" fillId="2" borderId="4" xfId="1" applyNumberFormat="1" applyFont="1" applyFill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quotePrefix="1"/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3EECC-3860-4341-9965-1A2A1B18D908}" name="Table1" displayName="Table1" ref="A1:C16" totalsRowShown="0">
  <autoFilter ref="A1:C16" xr:uid="{3303EECC-3860-4341-9965-1A2A1B18D908}"/>
  <tableColumns count="3">
    <tableColumn id="1" xr3:uid="{2A1AE386-9CB2-4CB9-9AF8-357A406DA816}" name="GIS Data Collection"/>
    <tableColumn id="2" xr3:uid="{0D181EFF-CF56-4073-BC68-6BADBC184CB0}" name="Genus"/>
    <tableColumn id="3" xr3:uid="{4BC4764C-5D0F-402E-8B74-1844E4525F61}" name="Not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67BBF-3D1B-426A-AA4B-486CA2C3ABA4}" name="Table2" displayName="Table2" ref="A1:P8" totalsRowCount="1" headerRowDxfId="2" headerRowBorderDxfId="1">
  <autoFilter ref="A1:P7" xr:uid="{0A067BBF-3D1B-426A-AA4B-486CA2C3ABA4}"/>
  <tableColumns count="16">
    <tableColumn id="1" xr3:uid="{40AFA9D3-36AA-48C1-A64E-4A645997CE78}" name="ALNUS" totalsRowFunction="custom">
      <totalsRowFormula>SUBTOTAL(109,A2:A7)</totalsRowFormula>
    </tableColumn>
    <tableColumn id="2" xr3:uid="{677B607C-1C54-4A13-9E07-98126C430272}" name="BETSHR" totalsRowFunction="custom">
      <totalsRowFormula>SUBTOTAL(109,B2:B7)</totalsRowFormula>
    </tableColumn>
    <tableColumn id="3" xr3:uid="{80DF1F8F-9915-4933-A195-B475A0260CC6}" name="BETTRE" totalsRowFunction="custom">
      <totalsRowFormula>SUBTOTAL(109,C2:C7)</totalsRowFormula>
    </tableColumn>
    <tableColumn id="4" xr3:uid="{065FD3E5-AFCF-4BFE-9168-71BEEAFE7DB7}" name="DECTRE" totalsRowFunction="custom">
      <totalsRowFormula>SUBTOTAL(109,D2:D7)</totalsRowFormula>
    </tableColumn>
    <tableColumn id="5" xr3:uid="{637C58C5-86DF-4C55-84CB-0EDF81EBB5BB}" name="DRYAS" totalsRowFunction="custom">
      <totalsRowFormula>SUBTOTAL(109,E2:E7)</totalsRowFormula>
    </tableColumn>
    <tableColumn id="6" xr3:uid="{360B246A-E30E-4DFF-A6C3-AFC3F13FA36F}" name="EMPNIG" totalsRowFunction="custom">
      <totalsRowFormula>SUBTOTAL(109,F2:F7)</totalsRowFormula>
    </tableColumn>
    <tableColumn id="7" xr3:uid="{073AB720-6F2A-4CB8-9BEF-1C013AF9FD4D}" name="ERIVAG" totalsRowFunction="custom">
      <totalsRowFormula>SUBTOTAL(109,G2:G7)</totalsRowFormula>
    </tableColumn>
    <tableColumn id="8" xr3:uid="{49C5703E-9464-4695-9B8F-2A40978AAAE6}" name="PICGLA" totalsRowFunction="custom">
      <totalsRowFormula>SUBTOTAL(109,H2:H7)</totalsRowFormula>
    </tableColumn>
    <tableColumn id="9" xr3:uid="{4BDF5F79-085C-4536-A4B0-AAF9B2337121}" name="PICMAR" totalsRowFunction="custom">
      <totalsRowFormula>SUBTOTAL(109,I2:I7)</totalsRowFormula>
    </tableColumn>
    <tableColumn id="10" xr3:uid="{260C7239-BA69-46EF-B09C-B85A4291CB7B}" name="RHOSHR" totalsRowFunction="custom">
      <totalsRowFormula>SUBTOTAL(109,J2:J7)</totalsRowFormula>
    </tableColumn>
    <tableColumn id="11" xr3:uid="{07BEE8AC-DFDE-4A6C-8E5B-BE9F9241898F}" name="SALSHR" totalsRowFunction="custom">
      <totalsRowFormula>SUBTOTAL(109,K2:K7)</totalsRowFormula>
    </tableColumn>
    <tableColumn id="12" xr3:uid="{8DEA60DB-A947-4A65-B0EE-6D535846C593}" name="SPHAGN" totalsRowFunction="custom">
      <totalsRowFormula>SUBTOTAL(109,L2:L7)</totalsRowFormula>
    </tableColumn>
    <tableColumn id="13" xr3:uid="{D09B98A1-072B-4B3C-9E43-1B31011E1DB2}" name="VACULI" totalsRowFunction="custom">
      <totalsRowFormula>SUBTOTAL(109,M2:M7)</totalsRowFormula>
    </tableColumn>
    <tableColumn id="14" xr3:uid="{3D781C7F-3DF7-4CD1-9EC6-FC599A1247C8}" name="VACVIT" totalsRowFunction="custom">
      <totalsRowFormula>SUBTOTAL(109,N2:N7)</totalsRowFormula>
    </tableColumn>
    <tableColumn id="15" xr3:uid="{C1246DA5-5B6F-4BF2-B6FE-46E613F8CAC4}" name="WETSED" totalsRowFunction="custom">
      <totalsRowFormula>SUBTOTAL(109,O2:O7)</totalsRowFormula>
    </tableColumn>
    <tableColumn id="16" xr3:uid="{BE1A3DCF-5F28-421E-A256-7880DA04A41D}" name="Grazing Percentage" totalsRowFunction="sum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E8D0-000B-47CC-86B1-67BF1621A688}">
  <dimension ref="A1:L27"/>
  <sheetViews>
    <sheetView workbookViewId="0">
      <selection activeCell="K7" sqref="K7:K8"/>
    </sheetView>
    <sheetView workbookViewId="1">
      <selection activeCell="G14" sqref="G14"/>
    </sheetView>
  </sheetViews>
  <sheetFormatPr defaultRowHeight="15" x14ac:dyDescent="0.25"/>
  <cols>
    <col min="1" max="1" width="16" customWidth="1"/>
    <col min="2" max="2" width="39.42578125" customWidth="1"/>
    <col min="3" max="3" width="20.28515625" customWidth="1"/>
    <col min="6" max="6" width="14.85546875" customWidth="1"/>
    <col min="7" max="7" width="57.42578125" customWidth="1"/>
    <col min="8" max="11" width="42.28515625" customWidth="1"/>
    <col min="12" max="12" width="65.7109375" customWidth="1"/>
    <col min="13" max="13" width="64" customWidth="1"/>
  </cols>
  <sheetData>
    <row r="1" spans="1:12" ht="26.25" x14ac:dyDescent="0.4">
      <c r="A1" s="29" t="s">
        <v>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8.75" x14ac:dyDescent="0.3">
      <c r="A2" s="18" t="s">
        <v>74</v>
      </c>
      <c r="B2" s="18" t="s">
        <v>67</v>
      </c>
      <c r="C2" s="18" t="s">
        <v>45</v>
      </c>
      <c r="D2" s="25" t="s">
        <v>10</v>
      </c>
      <c r="E2" s="26"/>
      <c r="F2" s="27"/>
      <c r="G2" s="18" t="s">
        <v>25</v>
      </c>
      <c r="H2" s="18" t="s">
        <v>28</v>
      </c>
      <c r="I2" s="18" t="s">
        <v>33</v>
      </c>
      <c r="J2" s="18" t="s">
        <v>66</v>
      </c>
      <c r="K2" s="18" t="s">
        <v>122</v>
      </c>
      <c r="L2" s="18" t="s">
        <v>30</v>
      </c>
    </row>
    <row r="3" spans="1:12" x14ac:dyDescent="0.25">
      <c r="A3" s="9">
        <v>1</v>
      </c>
      <c r="B3" s="11" t="s">
        <v>0</v>
      </c>
      <c r="C3" s="10">
        <v>8</v>
      </c>
      <c r="D3" s="6"/>
      <c r="E3" s="6"/>
      <c r="F3" s="35">
        <v>9.6000000000000002E-2</v>
      </c>
      <c r="G3" s="12" t="s">
        <v>31</v>
      </c>
      <c r="H3" s="11" t="s">
        <v>26</v>
      </c>
      <c r="I3" s="11" t="s">
        <v>29</v>
      </c>
      <c r="J3" s="11" t="s">
        <v>68</v>
      </c>
      <c r="K3" s="30" t="s">
        <v>123</v>
      </c>
      <c r="L3" s="13" t="s">
        <v>20</v>
      </c>
    </row>
    <row r="4" spans="1:12" ht="71.25" customHeight="1" x14ac:dyDescent="0.25">
      <c r="A4" s="9">
        <v>1</v>
      </c>
      <c r="B4" s="11" t="s">
        <v>1</v>
      </c>
      <c r="C4" s="10">
        <v>9</v>
      </c>
      <c r="D4" s="7"/>
      <c r="E4" s="7"/>
      <c r="F4" s="36"/>
      <c r="G4" s="13" t="s">
        <v>27</v>
      </c>
      <c r="H4" s="11" t="s">
        <v>32</v>
      </c>
      <c r="I4" s="11" t="s">
        <v>34</v>
      </c>
      <c r="J4" s="11" t="s">
        <v>69</v>
      </c>
      <c r="K4" s="31"/>
      <c r="L4" s="20" t="s">
        <v>21</v>
      </c>
    </row>
    <row r="5" spans="1:12" ht="60" x14ac:dyDescent="0.25">
      <c r="A5" s="8">
        <v>2</v>
      </c>
      <c r="B5" s="16" t="s">
        <v>2</v>
      </c>
      <c r="C5" s="17">
        <v>10</v>
      </c>
      <c r="D5" s="3"/>
      <c r="E5" s="3"/>
      <c r="F5" s="37">
        <v>9.6000000000000002E-2</v>
      </c>
      <c r="G5" s="15" t="s">
        <v>35</v>
      </c>
      <c r="H5" s="16" t="s">
        <v>37</v>
      </c>
      <c r="I5" s="16" t="s">
        <v>36</v>
      </c>
      <c r="J5" s="16" t="s">
        <v>69</v>
      </c>
      <c r="K5" s="32" t="s">
        <v>123</v>
      </c>
      <c r="L5" s="21" t="s">
        <v>19</v>
      </c>
    </row>
    <row r="6" spans="1:12" x14ac:dyDescent="0.25">
      <c r="A6" s="8">
        <v>2</v>
      </c>
      <c r="B6" s="16" t="s">
        <v>0</v>
      </c>
      <c r="C6" s="17">
        <v>16</v>
      </c>
      <c r="D6" s="2"/>
      <c r="E6" s="2"/>
      <c r="F6" s="38"/>
      <c r="G6" s="15" t="s">
        <v>38</v>
      </c>
      <c r="H6" s="16" t="s">
        <v>39</v>
      </c>
      <c r="I6" s="16" t="s">
        <v>40</v>
      </c>
      <c r="J6" s="16" t="s">
        <v>68</v>
      </c>
      <c r="K6" s="33"/>
      <c r="L6" s="15" t="s">
        <v>22</v>
      </c>
    </row>
    <row r="7" spans="1:12" ht="75" x14ac:dyDescent="0.25">
      <c r="A7" s="9">
        <v>3</v>
      </c>
      <c r="B7" s="11" t="s">
        <v>3</v>
      </c>
      <c r="C7" s="10">
        <v>6</v>
      </c>
      <c r="D7" s="6"/>
      <c r="E7" s="6"/>
      <c r="F7" s="35">
        <v>0.46700000000000003</v>
      </c>
      <c r="G7" s="13" t="s">
        <v>43</v>
      </c>
      <c r="H7" s="11" t="s">
        <v>121</v>
      </c>
      <c r="I7" s="11" t="s">
        <v>120</v>
      </c>
      <c r="J7" s="11" t="s">
        <v>70</v>
      </c>
      <c r="K7" s="30" t="s">
        <v>124</v>
      </c>
      <c r="L7" s="20" t="s">
        <v>11</v>
      </c>
    </row>
    <row r="8" spans="1:12" x14ac:dyDescent="0.25">
      <c r="A8" s="9">
        <v>3</v>
      </c>
      <c r="B8" s="11" t="s">
        <v>0</v>
      </c>
      <c r="C8" s="10">
        <v>8</v>
      </c>
      <c r="D8" s="7"/>
      <c r="E8" s="7"/>
      <c r="F8" s="36"/>
      <c r="G8" s="13" t="s">
        <v>46</v>
      </c>
      <c r="H8" s="11" t="s">
        <v>26</v>
      </c>
      <c r="I8" s="11" t="s">
        <v>34</v>
      </c>
      <c r="J8" s="11" t="s">
        <v>68</v>
      </c>
      <c r="K8" s="31"/>
      <c r="L8" s="13" t="s">
        <v>18</v>
      </c>
    </row>
    <row r="9" spans="1:12" x14ac:dyDescent="0.25">
      <c r="A9" s="8">
        <v>4</v>
      </c>
      <c r="B9" s="16" t="s">
        <v>4</v>
      </c>
      <c r="C9" s="17">
        <v>15</v>
      </c>
      <c r="D9" s="3"/>
      <c r="E9" s="3"/>
      <c r="F9" s="37">
        <v>0.308</v>
      </c>
      <c r="G9" s="15" t="s">
        <v>48</v>
      </c>
      <c r="H9" s="16" t="s">
        <v>49</v>
      </c>
      <c r="I9" s="16" t="s">
        <v>50</v>
      </c>
      <c r="J9" s="16" t="s">
        <v>71</v>
      </c>
      <c r="K9" s="32" t="s">
        <v>125</v>
      </c>
      <c r="L9" s="15" t="s">
        <v>47</v>
      </c>
    </row>
    <row r="10" spans="1:12" x14ac:dyDescent="0.25">
      <c r="A10" s="8">
        <v>4</v>
      </c>
      <c r="B10" s="16" t="s">
        <v>6</v>
      </c>
      <c r="C10" s="17">
        <v>12</v>
      </c>
      <c r="D10" s="1"/>
      <c r="E10" s="1"/>
      <c r="F10" s="39"/>
      <c r="G10" s="15" t="s">
        <v>51</v>
      </c>
      <c r="H10" s="16" t="s">
        <v>41</v>
      </c>
      <c r="I10" s="16" t="s">
        <v>52</v>
      </c>
      <c r="J10" s="16" t="s">
        <v>72</v>
      </c>
      <c r="K10" s="34"/>
      <c r="L10" s="15" t="s">
        <v>17</v>
      </c>
    </row>
    <row r="11" spans="1:12" ht="30" x14ac:dyDescent="0.25">
      <c r="A11" s="8">
        <v>4</v>
      </c>
      <c r="B11" s="16" t="s">
        <v>2</v>
      </c>
      <c r="C11" s="17">
        <v>14</v>
      </c>
      <c r="D11" s="2"/>
      <c r="E11" s="2"/>
      <c r="F11" s="38"/>
      <c r="G11" s="15" t="s">
        <v>53</v>
      </c>
      <c r="H11" s="16" t="s">
        <v>56</v>
      </c>
      <c r="I11" s="16" t="s">
        <v>55</v>
      </c>
      <c r="J11" s="16" t="s">
        <v>69</v>
      </c>
      <c r="K11" s="33"/>
      <c r="L11" s="21" t="s">
        <v>15</v>
      </c>
    </row>
    <row r="12" spans="1:12" x14ac:dyDescent="0.25">
      <c r="A12" s="9">
        <v>5</v>
      </c>
      <c r="B12" s="11" t="s">
        <v>5</v>
      </c>
      <c r="C12" s="10">
        <v>17</v>
      </c>
      <c r="D12" s="4"/>
      <c r="E12" s="4"/>
      <c r="F12" s="5">
        <v>1.4E-2</v>
      </c>
      <c r="G12" s="13" t="s">
        <v>57</v>
      </c>
      <c r="H12" s="11" t="s">
        <v>42</v>
      </c>
      <c r="I12" s="11" t="s">
        <v>58</v>
      </c>
      <c r="J12" s="11" t="s">
        <v>72</v>
      </c>
      <c r="K12" s="10" t="s">
        <v>72</v>
      </c>
      <c r="L12" s="13" t="s">
        <v>16</v>
      </c>
    </row>
    <row r="13" spans="1:12" x14ac:dyDescent="0.25">
      <c r="A13" s="8">
        <v>6</v>
      </c>
      <c r="B13" s="16" t="s">
        <v>7</v>
      </c>
      <c r="C13" s="17">
        <v>1</v>
      </c>
      <c r="D13" s="3"/>
      <c r="E13" s="3"/>
      <c r="F13" s="37">
        <v>1.9E-2</v>
      </c>
      <c r="G13" s="15" t="s">
        <v>54</v>
      </c>
      <c r="H13" s="16" t="s">
        <v>60</v>
      </c>
      <c r="I13" s="16" t="s">
        <v>59</v>
      </c>
      <c r="J13" s="16" t="s">
        <v>73</v>
      </c>
      <c r="K13" s="32" t="s">
        <v>126</v>
      </c>
      <c r="L13" s="15" t="s">
        <v>12</v>
      </c>
    </row>
    <row r="14" spans="1:12" x14ac:dyDescent="0.25">
      <c r="A14" s="8">
        <v>6</v>
      </c>
      <c r="B14" s="16" t="s">
        <v>8</v>
      </c>
      <c r="C14" s="17">
        <v>2</v>
      </c>
      <c r="D14" s="1"/>
      <c r="E14" s="1"/>
      <c r="F14" s="39"/>
      <c r="G14" s="15" t="s">
        <v>61</v>
      </c>
      <c r="H14" s="16" t="s">
        <v>63</v>
      </c>
      <c r="I14" s="16" t="s">
        <v>62</v>
      </c>
      <c r="J14" s="16" t="s">
        <v>72</v>
      </c>
      <c r="K14" s="34"/>
      <c r="L14" s="15" t="s">
        <v>13</v>
      </c>
    </row>
    <row r="15" spans="1:12" x14ac:dyDescent="0.25">
      <c r="A15" s="8">
        <v>6</v>
      </c>
      <c r="B15" s="16" t="s">
        <v>9</v>
      </c>
      <c r="C15" s="17">
        <v>3</v>
      </c>
      <c r="D15" s="2"/>
      <c r="E15" s="2"/>
      <c r="F15" s="38"/>
      <c r="G15" s="15" t="s">
        <v>64</v>
      </c>
      <c r="H15" s="16" t="s">
        <v>65</v>
      </c>
      <c r="I15" s="16" t="s">
        <v>44</v>
      </c>
      <c r="J15" s="16" t="s">
        <v>73</v>
      </c>
      <c r="K15" s="33"/>
      <c r="L15" s="15" t="s">
        <v>14</v>
      </c>
    </row>
    <row r="16" spans="1:12" x14ac:dyDescent="0.25">
      <c r="F16" s="14">
        <f>SUM(F3:F14)</f>
        <v>1</v>
      </c>
    </row>
    <row r="18" spans="1:7" ht="15" customHeight="1" x14ac:dyDescent="0.25">
      <c r="A18" s="28" t="s">
        <v>23</v>
      </c>
      <c r="B18" s="28"/>
      <c r="C18" s="28"/>
      <c r="D18" s="28"/>
      <c r="E18" s="28"/>
      <c r="F18" s="28"/>
      <c r="G18" s="28"/>
    </row>
    <row r="19" spans="1:7" ht="78.75" customHeight="1" x14ac:dyDescent="0.25">
      <c r="A19" s="28"/>
      <c r="B19" s="28"/>
      <c r="C19" s="28"/>
      <c r="D19" s="28"/>
      <c r="E19" s="28"/>
      <c r="F19" s="28"/>
      <c r="G19" s="28"/>
    </row>
    <row r="27" spans="1:7" ht="21" customHeight="1" x14ac:dyDescent="0.25"/>
  </sheetData>
  <mergeCells count="13">
    <mergeCell ref="D2:F2"/>
    <mergeCell ref="A18:G19"/>
    <mergeCell ref="A1:L1"/>
    <mergeCell ref="K3:K4"/>
    <mergeCell ref="K5:K6"/>
    <mergeCell ref="K7:K8"/>
    <mergeCell ref="K9:K11"/>
    <mergeCell ref="K13:K15"/>
    <mergeCell ref="F3:F4"/>
    <mergeCell ref="F5:F6"/>
    <mergeCell ref="F7:F8"/>
    <mergeCell ref="F9:F11"/>
    <mergeCell ref="F13:F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9559-14CD-4459-BEAE-50AAA7675017}">
  <dimension ref="A1:C16"/>
  <sheetViews>
    <sheetView workbookViewId="0">
      <selection activeCell="C32" sqref="C32"/>
    </sheetView>
    <sheetView workbookViewId="1"/>
  </sheetViews>
  <sheetFormatPr defaultRowHeight="15" x14ac:dyDescent="0.25"/>
  <cols>
    <col min="1" max="1" width="49.7109375" customWidth="1"/>
    <col min="2" max="2" width="29" customWidth="1"/>
    <col min="3" max="3" width="75" customWidth="1"/>
  </cols>
  <sheetData>
    <row r="1" spans="1:3" x14ac:dyDescent="0.25">
      <c r="A1" t="s">
        <v>88</v>
      </c>
      <c r="B1" t="s">
        <v>89</v>
      </c>
      <c r="C1" t="s">
        <v>93</v>
      </c>
    </row>
    <row r="2" spans="1:3" x14ac:dyDescent="0.25">
      <c r="A2" t="s">
        <v>75</v>
      </c>
      <c r="B2" t="s">
        <v>90</v>
      </c>
      <c r="C2" t="s">
        <v>117</v>
      </c>
    </row>
    <row r="3" spans="1:3" x14ac:dyDescent="0.25">
      <c r="A3" t="s">
        <v>76</v>
      </c>
      <c r="B3" t="s">
        <v>92</v>
      </c>
      <c r="C3" t="s">
        <v>116</v>
      </c>
    </row>
    <row r="4" spans="1:3" x14ac:dyDescent="0.25">
      <c r="A4" t="s">
        <v>77</v>
      </c>
      <c r="B4" t="s">
        <v>92</v>
      </c>
      <c r="C4" t="s">
        <v>115</v>
      </c>
    </row>
    <row r="5" spans="1:3" x14ac:dyDescent="0.25">
      <c r="A5" t="s">
        <v>78</v>
      </c>
      <c r="B5" s="19" t="s">
        <v>95</v>
      </c>
      <c r="C5" t="s">
        <v>94</v>
      </c>
    </row>
    <row r="6" spans="1:3" x14ac:dyDescent="0.25">
      <c r="A6" t="s">
        <v>79</v>
      </c>
      <c r="B6" t="s">
        <v>91</v>
      </c>
      <c r="C6" t="s">
        <v>96</v>
      </c>
    </row>
    <row r="7" spans="1:3" x14ac:dyDescent="0.25">
      <c r="A7" t="s">
        <v>80</v>
      </c>
      <c r="B7" t="s">
        <v>98</v>
      </c>
      <c r="C7" t="s">
        <v>97</v>
      </c>
    </row>
    <row r="8" spans="1:3" x14ac:dyDescent="0.25">
      <c r="A8" t="s">
        <v>81</v>
      </c>
      <c r="B8" t="s">
        <v>99</v>
      </c>
      <c r="C8" t="s">
        <v>100</v>
      </c>
    </row>
    <row r="9" spans="1:3" x14ac:dyDescent="0.25">
      <c r="A9" t="s">
        <v>82</v>
      </c>
      <c r="B9" t="s">
        <v>101</v>
      </c>
      <c r="C9" t="s">
        <v>114</v>
      </c>
    </row>
    <row r="10" spans="1:3" x14ac:dyDescent="0.25">
      <c r="A10" t="s">
        <v>83</v>
      </c>
      <c r="B10" t="s">
        <v>102</v>
      </c>
      <c r="C10" t="s">
        <v>103</v>
      </c>
    </row>
    <row r="11" spans="1:3" x14ac:dyDescent="0.25">
      <c r="A11" t="s">
        <v>84</v>
      </c>
      <c r="B11" t="s">
        <v>104</v>
      </c>
      <c r="C11" t="s">
        <v>118</v>
      </c>
    </row>
    <row r="12" spans="1:3" x14ac:dyDescent="0.25">
      <c r="A12" t="s">
        <v>72</v>
      </c>
      <c r="B12" t="s">
        <v>105</v>
      </c>
      <c r="C12" t="s">
        <v>119</v>
      </c>
    </row>
    <row r="13" spans="1:3" x14ac:dyDescent="0.25">
      <c r="A13" t="s">
        <v>71</v>
      </c>
      <c r="B13" t="s">
        <v>106</v>
      </c>
      <c r="C13" t="s">
        <v>107</v>
      </c>
    </row>
    <row r="14" spans="1:3" x14ac:dyDescent="0.25">
      <c r="A14" t="s">
        <v>85</v>
      </c>
      <c r="B14" t="s">
        <v>108</v>
      </c>
      <c r="C14" t="s">
        <v>109</v>
      </c>
    </row>
    <row r="15" spans="1:3" x14ac:dyDescent="0.25">
      <c r="A15" t="s">
        <v>86</v>
      </c>
      <c r="B15" t="s">
        <v>110</v>
      </c>
      <c r="C15" t="s">
        <v>111</v>
      </c>
    </row>
    <row r="16" spans="1:3" x14ac:dyDescent="0.25">
      <c r="A16" t="s">
        <v>87</v>
      </c>
      <c r="B16" t="s">
        <v>112</v>
      </c>
      <c r="C16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9E2E-0AD7-4BCE-A346-3C6151906881}">
  <dimension ref="A1:P8"/>
  <sheetViews>
    <sheetView topLeftCell="B1" workbookViewId="0">
      <selection activeCell="N11" sqref="N11"/>
    </sheetView>
    <sheetView workbookViewId="1"/>
  </sheetViews>
  <sheetFormatPr defaultRowHeight="15" x14ac:dyDescent="0.25"/>
  <cols>
    <col min="1" max="15" width="18.7109375" customWidth="1"/>
    <col min="16" max="16" width="42.42578125" customWidth="1"/>
  </cols>
  <sheetData>
    <row r="1" spans="1:16" ht="18.75" x14ac:dyDescent="0.25">
      <c r="A1" s="23" t="s">
        <v>128</v>
      </c>
      <c r="B1" s="24" t="s">
        <v>129</v>
      </c>
      <c r="C1" s="24" t="s">
        <v>130</v>
      </c>
      <c r="D1" s="24" t="s">
        <v>131</v>
      </c>
      <c r="E1" s="24" t="s">
        <v>132</v>
      </c>
      <c r="F1" s="24" t="s">
        <v>133</v>
      </c>
      <c r="G1" s="24" t="s">
        <v>134</v>
      </c>
      <c r="H1" s="24" t="s">
        <v>135</v>
      </c>
      <c r="I1" s="24" t="s">
        <v>136</v>
      </c>
      <c r="J1" s="24" t="s">
        <v>137</v>
      </c>
      <c r="K1" s="24" t="s">
        <v>138</v>
      </c>
      <c r="L1" s="24" t="s">
        <v>139</v>
      </c>
      <c r="M1" s="24" t="s">
        <v>140</v>
      </c>
      <c r="N1" s="24" t="s">
        <v>141</v>
      </c>
      <c r="O1" s="24" t="s">
        <v>142</v>
      </c>
      <c r="P1" s="22" t="s">
        <v>127</v>
      </c>
    </row>
    <row r="2" spans="1:16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9.6000000000000002E-2</v>
      </c>
    </row>
    <row r="3" spans="1:16" x14ac:dyDescent="0.25">
      <c r="A3">
        <v>0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9.6000000000000002E-2</v>
      </c>
    </row>
    <row r="4" spans="1:16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0.46700000000000003</v>
      </c>
    </row>
    <row r="5" spans="1:1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0.308</v>
      </c>
    </row>
    <row r="6" spans="1:1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1.4E-2</v>
      </c>
    </row>
    <row r="7" spans="1:1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1.9E-2</v>
      </c>
    </row>
    <row r="8" spans="1:16" x14ac:dyDescent="0.25">
      <c r="A8">
        <f t="shared" ref="A8:O8" si="0">SUBTOTAL(109,A2:A7)</f>
        <v>0</v>
      </c>
      <c r="B8">
        <f t="shared" si="0"/>
        <v>0</v>
      </c>
      <c r="C8">
        <f t="shared" si="0"/>
        <v>0</v>
      </c>
      <c r="D8">
        <f t="shared" si="0"/>
        <v>0</v>
      </c>
      <c r="E8">
        <f t="shared" si="0"/>
        <v>3</v>
      </c>
      <c r="F8">
        <f t="shared" si="0"/>
        <v>0</v>
      </c>
      <c r="G8">
        <f t="shared" si="0"/>
        <v>5</v>
      </c>
      <c r="H8">
        <f t="shared" si="0"/>
        <v>1</v>
      </c>
      <c r="I8">
        <f t="shared" si="0"/>
        <v>1</v>
      </c>
      <c r="J8">
        <f t="shared" si="0"/>
        <v>0</v>
      </c>
      <c r="K8">
        <f t="shared" si="0"/>
        <v>5</v>
      </c>
      <c r="L8">
        <f t="shared" si="0"/>
        <v>5</v>
      </c>
      <c r="M8">
        <f t="shared" si="0"/>
        <v>0</v>
      </c>
      <c r="N8">
        <f t="shared" si="0"/>
        <v>3</v>
      </c>
      <c r="O8">
        <f t="shared" si="0"/>
        <v>0</v>
      </c>
      <c r="P8">
        <f>SUBTOTAL(109,Table2[Grazing Percentage])</f>
        <v>1</v>
      </c>
    </row>
  </sheetData>
  <conditionalFormatting sqref="A2:O7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D886-C805-4998-940E-C4F2518F652A}">
  <dimension ref="A4:F79"/>
  <sheetViews>
    <sheetView tabSelected="1" topLeftCell="A40" workbookViewId="0">
      <selection activeCell="D74" sqref="D74"/>
    </sheetView>
    <sheetView tabSelected="1" topLeftCell="A22" workbookViewId="1">
      <selection activeCell="F33" sqref="F33"/>
    </sheetView>
  </sheetViews>
  <sheetFormatPr defaultRowHeight="15" x14ac:dyDescent="0.25"/>
  <cols>
    <col min="6" max="6" width="69" customWidth="1"/>
    <col min="7" max="7" width="86.5703125" customWidth="1"/>
    <col min="8" max="8" width="65.28515625" customWidth="1"/>
  </cols>
  <sheetData>
    <row r="4" spans="2:6" x14ac:dyDescent="0.25">
      <c r="B4" t="s">
        <v>149</v>
      </c>
      <c r="C4" t="s">
        <v>150</v>
      </c>
      <c r="D4">
        <v>1</v>
      </c>
    </row>
    <row r="5" spans="2:6" x14ac:dyDescent="0.25">
      <c r="B5" t="s">
        <v>148</v>
      </c>
      <c r="C5" t="s">
        <v>151</v>
      </c>
      <c r="D5">
        <v>2</v>
      </c>
    </row>
    <row r="6" spans="2:6" x14ac:dyDescent="0.25">
      <c r="B6" t="s">
        <v>147</v>
      </c>
      <c r="C6" t="s">
        <v>152</v>
      </c>
      <c r="D6">
        <v>0</v>
      </c>
    </row>
    <row r="7" spans="2:6" x14ac:dyDescent="0.25">
      <c r="B7" t="s">
        <v>146</v>
      </c>
      <c r="C7" t="s">
        <v>153</v>
      </c>
      <c r="D7">
        <v>0</v>
      </c>
    </row>
    <row r="8" spans="2:6" x14ac:dyDescent="0.25">
      <c r="B8" t="s">
        <v>145</v>
      </c>
      <c r="C8" t="s">
        <v>154</v>
      </c>
      <c r="D8">
        <v>1</v>
      </c>
    </row>
    <row r="9" spans="2:6" x14ac:dyDescent="0.25">
      <c r="B9" t="s">
        <v>144</v>
      </c>
      <c r="C9" t="s">
        <v>155</v>
      </c>
      <c r="D9">
        <v>1</v>
      </c>
    </row>
    <row r="10" spans="2:6" x14ac:dyDescent="0.25">
      <c r="B10" t="s">
        <v>143</v>
      </c>
      <c r="C10" t="s">
        <v>156</v>
      </c>
      <c r="D10">
        <v>1</v>
      </c>
    </row>
    <row r="11" spans="2:6" x14ac:dyDescent="0.25">
      <c r="B11" s="40" t="s">
        <v>157</v>
      </c>
      <c r="C11" s="41" t="s">
        <v>158</v>
      </c>
      <c r="D11" s="40">
        <v>9.6000000000000002E-2</v>
      </c>
      <c r="F11" t="s">
        <v>161</v>
      </c>
    </row>
    <row r="15" spans="2:6" x14ac:dyDescent="0.25">
      <c r="B15" t="s">
        <v>149</v>
      </c>
      <c r="C15" t="s">
        <v>150</v>
      </c>
      <c r="D15">
        <v>1</v>
      </c>
    </row>
    <row r="16" spans="2:6" x14ac:dyDescent="0.25">
      <c r="B16" t="s">
        <v>148</v>
      </c>
      <c r="C16" t="s">
        <v>151</v>
      </c>
      <c r="D16">
        <v>2</v>
      </c>
    </row>
    <row r="17" spans="2:6" x14ac:dyDescent="0.25">
      <c r="B17" t="s">
        <v>147</v>
      </c>
      <c r="C17" t="s">
        <v>152</v>
      </c>
      <c r="D17">
        <v>0</v>
      </c>
    </row>
    <row r="18" spans="2:6" x14ac:dyDescent="0.25">
      <c r="B18" t="s">
        <v>146</v>
      </c>
      <c r="C18" t="s">
        <v>153</v>
      </c>
      <c r="D18">
        <v>0</v>
      </c>
    </row>
    <row r="19" spans="2:6" x14ac:dyDescent="0.25">
      <c r="B19" t="s">
        <v>145</v>
      </c>
      <c r="C19" t="s">
        <v>154</v>
      </c>
      <c r="D19">
        <v>1</v>
      </c>
    </row>
    <row r="20" spans="2:6" x14ac:dyDescent="0.25">
      <c r="B20" t="s">
        <v>144</v>
      </c>
      <c r="C20" t="s">
        <v>155</v>
      </c>
      <c r="D20">
        <v>1</v>
      </c>
    </row>
    <row r="21" spans="2:6" x14ac:dyDescent="0.25">
      <c r="B21" t="s">
        <v>143</v>
      </c>
      <c r="C21" t="s">
        <v>156</v>
      </c>
      <c r="D21">
        <v>1</v>
      </c>
    </row>
    <row r="22" spans="2:6" x14ac:dyDescent="0.25">
      <c r="B22" s="40" t="s">
        <v>157</v>
      </c>
      <c r="C22" s="41" t="s">
        <v>158</v>
      </c>
      <c r="D22" s="40">
        <v>9.6000000000000002E-2</v>
      </c>
      <c r="F22" t="s">
        <v>161</v>
      </c>
    </row>
    <row r="26" spans="2:6" x14ac:dyDescent="0.25">
      <c r="B26" t="s">
        <v>149</v>
      </c>
      <c r="C26" t="s">
        <v>150</v>
      </c>
      <c r="D26">
        <v>1</v>
      </c>
    </row>
    <row r="27" spans="2:6" x14ac:dyDescent="0.25">
      <c r="B27" t="s">
        <v>148</v>
      </c>
      <c r="C27" t="s">
        <v>151</v>
      </c>
      <c r="D27">
        <v>1</v>
      </c>
    </row>
    <row r="28" spans="2:6" x14ac:dyDescent="0.25">
      <c r="B28" t="s">
        <v>147</v>
      </c>
      <c r="C28" t="s">
        <v>152</v>
      </c>
      <c r="D28">
        <v>1</v>
      </c>
    </row>
    <row r="29" spans="2:6" x14ac:dyDescent="0.25">
      <c r="B29" t="s">
        <v>146</v>
      </c>
      <c r="C29" t="s">
        <v>153</v>
      </c>
      <c r="D29">
        <v>1</v>
      </c>
    </row>
    <row r="30" spans="2:6" x14ac:dyDescent="0.25">
      <c r="B30" t="s">
        <v>145</v>
      </c>
      <c r="C30" t="s">
        <v>154</v>
      </c>
      <c r="D30">
        <v>1</v>
      </c>
    </row>
    <row r="31" spans="2:6" x14ac:dyDescent="0.25">
      <c r="B31" t="s">
        <v>144</v>
      </c>
      <c r="C31" t="s">
        <v>155</v>
      </c>
      <c r="D31">
        <v>1</v>
      </c>
    </row>
    <row r="32" spans="2:6" x14ac:dyDescent="0.25">
      <c r="B32" t="s">
        <v>143</v>
      </c>
      <c r="C32" t="s">
        <v>156</v>
      </c>
      <c r="D32">
        <v>0</v>
      </c>
    </row>
    <row r="33" spans="2:6" x14ac:dyDescent="0.25">
      <c r="B33" s="40" t="s">
        <v>157</v>
      </c>
      <c r="C33" s="41" t="s">
        <v>158</v>
      </c>
      <c r="D33" s="40">
        <v>0.46700000000000003</v>
      </c>
      <c r="F33" t="s">
        <v>163</v>
      </c>
    </row>
    <row r="37" spans="2:6" x14ac:dyDescent="0.25">
      <c r="B37" t="s">
        <v>149</v>
      </c>
      <c r="C37" t="s">
        <v>150</v>
      </c>
      <c r="D37">
        <v>0</v>
      </c>
    </row>
    <row r="38" spans="2:6" x14ac:dyDescent="0.25">
      <c r="B38" t="s">
        <v>148</v>
      </c>
      <c r="C38" t="s">
        <v>151</v>
      </c>
      <c r="D38">
        <v>1</v>
      </c>
    </row>
    <row r="39" spans="2:6" x14ac:dyDescent="0.25">
      <c r="B39" t="s">
        <v>147</v>
      </c>
      <c r="C39" t="s">
        <v>152</v>
      </c>
      <c r="D39">
        <v>0</v>
      </c>
    </row>
    <row r="40" spans="2:6" x14ac:dyDescent="0.25">
      <c r="B40" t="s">
        <v>146</v>
      </c>
      <c r="C40" t="s">
        <v>153</v>
      </c>
      <c r="D40">
        <v>0</v>
      </c>
    </row>
    <row r="41" spans="2:6" x14ac:dyDescent="0.25">
      <c r="B41" t="s">
        <v>145</v>
      </c>
      <c r="C41" t="s">
        <v>154</v>
      </c>
      <c r="D41">
        <v>1</v>
      </c>
    </row>
    <row r="42" spans="2:6" x14ac:dyDescent="0.25">
      <c r="B42" t="s">
        <v>144</v>
      </c>
      <c r="C42" t="s">
        <v>155</v>
      </c>
      <c r="D42">
        <v>0</v>
      </c>
    </row>
    <row r="43" spans="2:6" x14ac:dyDescent="0.25">
      <c r="B43" t="s">
        <v>143</v>
      </c>
      <c r="C43" t="s">
        <v>156</v>
      </c>
      <c r="D43">
        <v>2</v>
      </c>
    </row>
    <row r="44" spans="2:6" x14ac:dyDescent="0.25">
      <c r="B44" s="40" t="s">
        <v>157</v>
      </c>
      <c r="C44" s="41" t="s">
        <v>158</v>
      </c>
      <c r="D44" s="40">
        <v>0.308</v>
      </c>
      <c r="F44" t="s">
        <v>162</v>
      </c>
    </row>
    <row r="48" spans="2:6" x14ac:dyDescent="0.25">
      <c r="B48" t="s">
        <v>149</v>
      </c>
      <c r="C48" t="s">
        <v>150</v>
      </c>
      <c r="D48">
        <v>0</v>
      </c>
    </row>
    <row r="49" spans="2:6" x14ac:dyDescent="0.25">
      <c r="B49" t="s">
        <v>148</v>
      </c>
      <c r="C49" t="s">
        <v>151</v>
      </c>
      <c r="D49">
        <v>0</v>
      </c>
    </row>
    <row r="50" spans="2:6" x14ac:dyDescent="0.25">
      <c r="B50" t="s">
        <v>147</v>
      </c>
      <c r="C50" t="s">
        <v>152</v>
      </c>
      <c r="D50">
        <v>0</v>
      </c>
    </row>
    <row r="51" spans="2:6" x14ac:dyDescent="0.25">
      <c r="B51" t="s">
        <v>146</v>
      </c>
      <c r="C51" t="s">
        <v>153</v>
      </c>
      <c r="D51">
        <v>0</v>
      </c>
    </row>
    <row r="52" spans="2:6" x14ac:dyDescent="0.25">
      <c r="B52" t="s">
        <v>145</v>
      </c>
      <c r="C52" t="s">
        <v>154</v>
      </c>
      <c r="D52">
        <v>0</v>
      </c>
    </row>
    <row r="53" spans="2:6" x14ac:dyDescent="0.25">
      <c r="B53" t="s">
        <v>144</v>
      </c>
      <c r="C53" t="s">
        <v>155</v>
      </c>
      <c r="D53">
        <v>0</v>
      </c>
    </row>
    <row r="54" spans="2:6" x14ac:dyDescent="0.25">
      <c r="B54" t="s">
        <v>143</v>
      </c>
      <c r="C54" t="s">
        <v>156</v>
      </c>
      <c r="D54">
        <v>1</v>
      </c>
    </row>
    <row r="55" spans="2:6" x14ac:dyDescent="0.25">
      <c r="B55" s="40" t="s">
        <v>157</v>
      </c>
      <c r="C55" s="41" t="s">
        <v>158</v>
      </c>
      <c r="D55" s="40">
        <v>1.4E-2</v>
      </c>
      <c r="F55" t="s">
        <v>160</v>
      </c>
    </row>
    <row r="59" spans="2:6" x14ac:dyDescent="0.25">
      <c r="B59" t="s">
        <v>149</v>
      </c>
      <c r="C59" t="s">
        <v>150</v>
      </c>
      <c r="D59">
        <v>1</v>
      </c>
    </row>
    <row r="60" spans="2:6" x14ac:dyDescent="0.25">
      <c r="B60" t="s">
        <v>148</v>
      </c>
      <c r="C60" t="s">
        <v>151</v>
      </c>
      <c r="D60">
        <v>0</v>
      </c>
    </row>
    <row r="61" spans="2:6" x14ac:dyDescent="0.25">
      <c r="B61" t="s">
        <v>147</v>
      </c>
      <c r="C61" t="s">
        <v>152</v>
      </c>
      <c r="D61">
        <v>0</v>
      </c>
    </row>
    <row r="62" spans="2:6" x14ac:dyDescent="0.25">
      <c r="B62" t="s">
        <v>146</v>
      </c>
      <c r="C62" t="s">
        <v>153</v>
      </c>
      <c r="D62">
        <v>0</v>
      </c>
    </row>
    <row r="63" spans="2:6" x14ac:dyDescent="0.25">
      <c r="B63" t="s">
        <v>145</v>
      </c>
      <c r="C63" t="s">
        <v>154</v>
      </c>
      <c r="D63">
        <v>0</v>
      </c>
    </row>
    <row r="64" spans="2:6" x14ac:dyDescent="0.25">
      <c r="B64" t="s">
        <v>144</v>
      </c>
      <c r="C64" t="s">
        <v>155</v>
      </c>
      <c r="D64">
        <v>0</v>
      </c>
    </row>
    <row r="65" spans="1:6" x14ac:dyDescent="0.25">
      <c r="B65" t="s">
        <v>143</v>
      </c>
      <c r="C65" t="s">
        <v>156</v>
      </c>
      <c r="D65">
        <v>1</v>
      </c>
    </row>
    <row r="66" spans="1:6" x14ac:dyDescent="0.25">
      <c r="B66" s="40" t="s">
        <v>157</v>
      </c>
      <c r="C66" s="41" t="s">
        <v>158</v>
      </c>
      <c r="D66" s="40">
        <v>1.9E-2</v>
      </c>
      <c r="F66" t="s">
        <v>159</v>
      </c>
    </row>
    <row r="73" spans="1:6" x14ac:dyDescent="0.25">
      <c r="A73" t="s">
        <v>149</v>
      </c>
      <c r="B73" t="s">
        <v>150</v>
      </c>
      <c r="C73" t="s">
        <v>158</v>
      </c>
      <c r="D73">
        <v>5.0000000000000001E-3</v>
      </c>
    </row>
    <row r="74" spans="1:6" x14ac:dyDescent="0.25">
      <c r="A74" t="s">
        <v>148</v>
      </c>
      <c r="B74" t="s">
        <v>151</v>
      </c>
      <c r="C74" t="s">
        <v>158</v>
      </c>
    </row>
    <row r="75" spans="1:6" x14ac:dyDescent="0.25">
      <c r="A75" t="s">
        <v>147</v>
      </c>
      <c r="B75" t="s">
        <v>152</v>
      </c>
      <c r="C75" t="s">
        <v>158</v>
      </c>
    </row>
    <row r="76" spans="1:6" x14ac:dyDescent="0.25">
      <c r="A76" t="s">
        <v>146</v>
      </c>
      <c r="B76" t="s">
        <v>153</v>
      </c>
      <c r="C76" s="42" t="s">
        <v>158</v>
      </c>
      <c r="D76" t="s">
        <v>165</v>
      </c>
    </row>
    <row r="77" spans="1:6" x14ac:dyDescent="0.25">
      <c r="A77" t="s">
        <v>145</v>
      </c>
      <c r="B77" t="s">
        <v>154</v>
      </c>
      <c r="C77" t="s">
        <v>158</v>
      </c>
      <c r="D77" t="s">
        <v>164</v>
      </c>
    </row>
    <row r="78" spans="1:6" x14ac:dyDescent="0.25">
      <c r="A78" t="s">
        <v>144</v>
      </c>
      <c r="B78" t="s">
        <v>155</v>
      </c>
      <c r="C78" t="s">
        <v>158</v>
      </c>
      <c r="D78">
        <v>-0.217</v>
      </c>
    </row>
    <row r="79" spans="1:6" x14ac:dyDescent="0.25">
      <c r="A79" t="s">
        <v>143</v>
      </c>
      <c r="B79" t="s">
        <v>156</v>
      </c>
      <c r="C79" t="s">
        <v>158</v>
      </c>
      <c r="D79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Data</vt:lpstr>
      <vt:lpstr>File Speciation</vt:lpstr>
      <vt:lpstr>File Grazing Preference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Sheaffer</dc:creator>
  <cp:lastModifiedBy>Cory Sheaffer</cp:lastModifiedBy>
  <dcterms:created xsi:type="dcterms:W3CDTF">2024-03-26T00:51:37Z</dcterms:created>
  <dcterms:modified xsi:type="dcterms:W3CDTF">2024-09-16T07:38:40Z</dcterms:modified>
</cp:coreProperties>
</file>